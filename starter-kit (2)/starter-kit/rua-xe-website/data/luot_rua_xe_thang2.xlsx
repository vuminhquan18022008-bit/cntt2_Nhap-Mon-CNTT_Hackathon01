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E:\starter-kit (2)\starter-kit\rua-xe-website\data\"/>
    </mc:Choice>
  </mc:AlternateContent>
  <xr:revisionPtr revIDLastSave="0" documentId="13_ncr:1_{AD65255E-71DF-4BB5-929A-9A43B55A493D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LuotRua" sheetId="1" r:id="rId1"/>
    <sheet name="GoiRuaXe" sheetId="2" r:id="rId2"/>
  </sheets>
  <definedNames>
    <definedName name="_xlnm._FilterDatabase" localSheetId="0" hidden="1">LuotRua!$A$1:$G$16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G15" i="1"/>
  <c r="G16" i="1"/>
  <c r="G2" i="1"/>
  <c r="E16" i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F15" i="1"/>
  <c r="F1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<sst xmlns="http://schemas.openxmlformats.org/spreadsheetml/2006/main" count="69" uniqueCount="51">
  <si>
    <t>ma_lr</t>
  </si>
  <si>
    <t>ngay_rua</t>
  </si>
  <si>
    <t>ma_rx</t>
  </si>
  <si>
    <t>so_xe</t>
  </si>
  <si>
    <t>ten_goi_rua</t>
  </si>
  <si>
    <t>gia_luot</t>
  </si>
  <si>
    <t>tien_rua</t>
  </si>
  <si>
    <t>LR001</t>
  </si>
  <si>
    <t>2026-02-01</t>
  </si>
  <si>
    <t>OT01</t>
  </si>
  <si>
    <t>LR002</t>
  </si>
  <si>
    <t>2026-02-02</t>
  </si>
  <si>
    <t>VS01</t>
  </si>
  <si>
    <t>LR003</t>
  </si>
  <si>
    <t>2026-02-03</t>
  </si>
  <si>
    <t>OT02</t>
  </si>
  <si>
    <t>LR004</t>
  </si>
  <si>
    <t>2026-02-04</t>
  </si>
  <si>
    <t>XM02</t>
  </si>
  <si>
    <t>LR005</t>
  </si>
  <si>
    <t>2026-02-05</t>
  </si>
  <si>
    <t>LR006</t>
  </si>
  <si>
    <t>2026-02-06</t>
  </si>
  <si>
    <t>DB01</t>
  </si>
  <si>
    <t>LR007</t>
  </si>
  <si>
    <t>2026-02-07</t>
  </si>
  <si>
    <t>XM01</t>
  </si>
  <si>
    <t>LR008</t>
  </si>
  <si>
    <t>2026-02-08</t>
  </si>
  <si>
    <t>LR009</t>
  </si>
  <si>
    <t>2026-02-09</t>
  </si>
  <si>
    <t>LR010</t>
  </si>
  <si>
    <t>2026-02-10</t>
  </si>
  <si>
    <t>HB01</t>
  </si>
  <si>
    <t>LR011</t>
  </si>
  <si>
    <t>2026-02-11</t>
  </si>
  <si>
    <t>LR012</t>
  </si>
  <si>
    <t>2026-02-12</t>
  </si>
  <si>
    <t>LR013</t>
  </si>
  <si>
    <t>2026-02-13</t>
  </si>
  <si>
    <t>LR014</t>
  </si>
  <si>
    <t>2026-02-14</t>
  </si>
  <si>
    <t>LR015</t>
  </si>
  <si>
    <t>2026-02-15</t>
  </si>
  <si>
    <t>Rua xe may thuong</t>
  </si>
  <si>
    <t>Rua xe may phu bong</t>
  </si>
  <si>
    <t>Rua o to 4 cho</t>
  </si>
  <si>
    <t>Rua o to 7 cho</t>
  </si>
  <si>
    <t>Ve sinh noi that o to</t>
  </si>
  <si>
    <t>Danh bong den xe</t>
  </si>
  <si>
    <t>Hut bui tham 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</si>
</sst>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A2" sqref="A2"/>
    </sheetView>
  </sheetViews>
  <sheetFormatPr defaultRowHeight="14.4" x14ac:dyDescent="0.55000000000000004"/>
  <cols>
    <col min="1" max="4" width="15" customWidth="1"/>
    <col min="5" max="5" width="18.578125" customWidth="1"/>
    <col min="6" max="7" width="15" customWidth="1"/>
  </cols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5000000000000004">
      <c r="A2" t="s">
        <v>7</v>
      </c>
      <c r="B2" t="s">
        <v>8</v>
      </c>
      <c r="C2" t="s">
        <v>9</v>
      </c>
      <c r="D2" s="1">
        <v>3</v>
      </c>
      <c r="E2" t="str">
        <f>VLOOKUP(LuotRua!C2,GoiRuaXe!$A$1:$C$8,2,0)</f>
        <v>Rua o to 4 cho</v>
      </c>
      <c r="F2">
        <f>VLOOKUP(C2,GoiRuaXe!$A$1:$C$8,3,0)</f>
        <v>120000</v>
      </c>
      <c r="G2">
        <f>D2*F2</f>
        <v>360000</v>
      </c>
    </row>
    <row r="3" spans="1:7" x14ac:dyDescent="0.55000000000000004">
      <c r="A3" t="s">
        <v>10</v>
      </c>
      <c r="B3" t="s">
        <v>11</v>
      </c>
      <c r="C3" t="s">
        <v>12</v>
      </c>
      <c r="D3" s="1">
        <v>1</v>
      </c>
      <c r="E3" t="str">
        <f>VLOOKUP(LuotRua!C3,GoiRuaXe!$A$1:$C$8,2,0)</f>
        <v>Ve sinh noi that o to</v>
      </c>
      <c r="F3">
        <f>VLOOKUP(C3,GoiRuaXe!$A$1:$C$8,3,0)</f>
        <v>400000</v>
      </c>
      <c r="G3">
        <f t="shared" ref="G3:G16" si="0">D3*F3</f>
        <v>400000</v>
      </c>
    </row>
    <row r="4" spans="1:7" x14ac:dyDescent="0.55000000000000004">
      <c r="A4" t="s">
        <v>13</v>
      </c>
      <c r="B4" t="s">
        <v>14</v>
      </c>
      <c r="C4" t="s">
        <v>15</v>
      </c>
      <c r="D4" s="1">
        <v>3</v>
      </c>
      <c r="E4" t="str">
        <f>VLOOKUP(LuotRua!C4,GoiRuaXe!$A$1:$C$8,2,0)</f>
        <v>Rua o to 7 cho</v>
      </c>
      <c r="F4">
        <f>VLOOKUP(C4,GoiRuaXe!$A$1:$C$8,3,0)</f>
        <v>150000</v>
      </c>
      <c r="G4">
        <f t="shared" si="0"/>
        <v>450000</v>
      </c>
    </row>
    <row r="5" spans="1:7" hidden="1" x14ac:dyDescent="0.55000000000000004">
      <c r="A5" t="s">
        <v>16</v>
      </c>
      <c r="B5" t="s">
        <v>17</v>
      </c>
      <c r="C5" t="s">
        <v>18</v>
      </c>
      <c r="D5" s="1">
        <v>3</v>
      </c>
      <c r="E5" t="str">
        <f>VLOOKUP(LuotRua!C5,GoiRuaXe!$A$1:$C$8,2,0)</f>
        <v>Rua xe may phu bong</v>
      </c>
      <c r="F5">
        <f>VLOOKUP(C5,GoiRuaXe!$A$1:$C$8,3,0)</f>
        <v>50000</v>
      </c>
      <c r="G5">
        <f t="shared" si="0"/>
        <v>150000</v>
      </c>
    </row>
    <row r="6" spans="1:7" hidden="1" x14ac:dyDescent="0.55000000000000004">
      <c r="A6" t="s">
        <v>19</v>
      </c>
      <c r="B6" t="s">
        <v>20</v>
      </c>
      <c r="C6" t="s">
        <v>9</v>
      </c>
      <c r="D6" s="1">
        <v>1</v>
      </c>
      <c r="E6" t="str">
        <f>VLOOKUP(LuotRua!C6,GoiRuaXe!$A$1:$C$8,2,0)</f>
        <v>Rua o to 4 cho</v>
      </c>
      <c r="F6">
        <f>VLOOKUP(C6,GoiRuaXe!$A$1:$C$8,3,0)</f>
        <v>120000</v>
      </c>
      <c r="G6">
        <f t="shared" si="0"/>
        <v>120000</v>
      </c>
    </row>
    <row r="7" spans="1:7" x14ac:dyDescent="0.55000000000000004">
      <c r="A7" t="s">
        <v>21</v>
      </c>
      <c r="B7" t="s">
        <v>22</v>
      </c>
      <c r="C7" t="s">
        <v>23</v>
      </c>
      <c r="D7" s="1">
        <v>2</v>
      </c>
      <c r="E7" t="str">
        <f>VLOOKUP(LuotRua!C7,GoiRuaXe!$A$1:$C$8,2,0)</f>
        <v>Danh bong den xe</v>
      </c>
      <c r="F7">
        <f>VLOOKUP(C7,GoiRuaXe!$A$1:$C$8,3,0)</f>
        <v>200000</v>
      </c>
      <c r="G7">
        <f t="shared" si="0"/>
        <v>400000</v>
      </c>
    </row>
    <row r="8" spans="1:7" hidden="1" x14ac:dyDescent="0.55000000000000004">
      <c r="A8" t="s">
        <v>24</v>
      </c>
      <c r="B8" t="s">
        <v>25</v>
      </c>
      <c r="C8" t="s">
        <v>26</v>
      </c>
      <c r="D8" s="1">
        <v>1</v>
      </c>
      <c r="E8" t="str">
        <f>VLOOKUP(LuotRua!C8,GoiRuaXe!$A$1:$C$8,2,0)</f>
        <v>Rua xe may thuong</v>
      </c>
      <c r="F8">
        <f>VLOOKUP(C8,GoiRuaXe!$A$1:$C$8,3,0)</f>
        <v>30000</v>
      </c>
      <c r="G8">
        <f t="shared" si="0"/>
        <v>30000</v>
      </c>
    </row>
    <row r="9" spans="1:7" x14ac:dyDescent="0.55000000000000004">
      <c r="A9" t="s">
        <v>27</v>
      </c>
      <c r="B9" t="s">
        <v>28</v>
      </c>
      <c r="C9" t="s">
        <v>15</v>
      </c>
      <c r="D9" s="1">
        <v>4</v>
      </c>
      <c r="E9" t="str">
        <f>VLOOKUP(LuotRua!C9,GoiRuaXe!$A$1:$C$8,2,0)</f>
        <v>Rua o to 7 cho</v>
      </c>
      <c r="F9">
        <f>VLOOKUP(C9,GoiRuaXe!$A$1:$C$8,3,0)</f>
        <v>150000</v>
      </c>
      <c r="G9">
        <f t="shared" si="0"/>
        <v>600000</v>
      </c>
    </row>
    <row r="10" spans="1:7" hidden="1" x14ac:dyDescent="0.55000000000000004">
      <c r="A10" t="s">
        <v>29</v>
      </c>
      <c r="B10" t="s">
        <v>30</v>
      </c>
      <c r="C10" t="s">
        <v>18</v>
      </c>
      <c r="D10" s="1">
        <v>4</v>
      </c>
      <c r="E10" t="str">
        <f>VLOOKUP(LuotRua!C10,GoiRuaXe!$A$1:$C$8,2,0)</f>
        <v>Rua xe may phu bong</v>
      </c>
      <c r="F10">
        <f>VLOOKUP(C10,GoiRuaXe!$A$1:$C$8,3,0)</f>
        <v>50000</v>
      </c>
      <c r="G10">
        <f t="shared" si="0"/>
        <v>200000</v>
      </c>
    </row>
    <row r="11" spans="1:7" x14ac:dyDescent="0.55000000000000004">
      <c r="A11" t="s">
        <v>31</v>
      </c>
      <c r="B11" t="s">
        <v>32</v>
      </c>
      <c r="C11" t="s">
        <v>33</v>
      </c>
      <c r="D11" s="1">
        <v>5</v>
      </c>
      <c r="E11" t="str">
        <f>VLOOKUP(LuotRua!C11,GoiRuaXe!$A$1:$C$8,2,0)</f>
        <v>Hut bui tham san</v>
      </c>
      <c r="F11">
        <f>VLOOKUP(C11,GoiRuaXe!$A$1:$C$8,3,0)</f>
        <v>60000</v>
      </c>
      <c r="G11">
        <f t="shared" si="0"/>
        <v>300000</v>
      </c>
    </row>
    <row r="12" spans="1:7" x14ac:dyDescent="0.55000000000000004">
      <c r="A12" t="s">
        <v>34</v>
      </c>
      <c r="B12" t="s">
        <v>35</v>
      </c>
      <c r="C12" t="s">
        <v>15</v>
      </c>
      <c r="D12" s="1">
        <v>5</v>
      </c>
      <c r="E12" t="str">
        <f>VLOOKUP(LuotRua!C12,GoiRuaXe!$A$1:$C$8,2,0)</f>
        <v>Rua o to 7 cho</v>
      </c>
      <c r="F12">
        <f>VLOOKUP(C12,GoiRuaXe!$A$1:$C$8,3,0)</f>
        <v>150000</v>
      </c>
      <c r="G12">
        <f t="shared" si="0"/>
        <v>750000</v>
      </c>
    </row>
    <row r="13" spans="1:7" hidden="1" x14ac:dyDescent="0.55000000000000004">
      <c r="A13" t="s">
        <v>36</v>
      </c>
      <c r="B13" t="s">
        <v>37</v>
      </c>
      <c r="C13" t="s">
        <v>33</v>
      </c>
      <c r="D13" s="1">
        <v>1</v>
      </c>
      <c r="E13" t="str">
        <f>VLOOKUP(LuotRua!C13,GoiRuaXe!$A$1:$C$8,2,0)</f>
        <v>Hut bui tham san</v>
      </c>
      <c r="F13">
        <f>VLOOKUP(C13,GoiRuaXe!$A$1:$C$8,3,0)</f>
        <v>60000</v>
      </c>
      <c r="G13">
        <f t="shared" si="0"/>
        <v>60000</v>
      </c>
    </row>
    <row r="14" spans="1:7" hidden="1" x14ac:dyDescent="0.55000000000000004">
      <c r="A14" t="s">
        <v>38</v>
      </c>
      <c r="B14" t="s">
        <v>39</v>
      </c>
      <c r="C14" t="s">
        <v>18</v>
      </c>
      <c r="D14" s="1">
        <v>4</v>
      </c>
      <c r="E14" t="str">
        <f>VLOOKUP(LuotRua!C14,GoiRuaXe!$A$1:$C$8,2,0)</f>
        <v>Rua xe may phu bong</v>
      </c>
      <c r="F14">
        <f>VLOOKUP(C14,GoiRuaXe!$A$1:$C$8,3,0)</f>
        <v>50000</v>
      </c>
      <c r="G14">
        <f t="shared" si="0"/>
        <v>200000</v>
      </c>
    </row>
    <row r="15" spans="1:7" hidden="1" x14ac:dyDescent="0.55000000000000004">
      <c r="A15" t="s">
        <v>40</v>
      </c>
      <c r="B15" t="s">
        <v>41</v>
      </c>
      <c r="C15" t="s">
        <v>15</v>
      </c>
      <c r="D15" s="1">
        <v>1</v>
      </c>
      <c r="E15" t="str">
        <f>VLOOKUP(LuotRua!C15,GoiRuaXe!$A$1:$C$8,2,0)</f>
        <v>Rua o to 7 cho</v>
      </c>
      <c r="F15">
        <f>VLOOKUP(C15,GoiRuaXe!$A$1:$C$8,3,0)</f>
        <v>150000</v>
      </c>
      <c r="G15">
        <f t="shared" si="0"/>
        <v>150000</v>
      </c>
    </row>
    <row r="16" spans="1:7" x14ac:dyDescent="0.55000000000000004">
      <c r="A16" t="s">
        <v>42</v>
      </c>
      <c r="B16" t="s">
        <v>43</v>
      </c>
      <c r="C16" t="s">
        <v>9</v>
      </c>
      <c r="D16" s="1">
        <v>4</v>
      </c>
      <c r="E16" t="str">
        <f>VLOOKUP(LuotRua!C16,GoiRuaXe!$A$1:$C$8,2,0)</f>
        <v>Rua o to 4 cho</v>
      </c>
      <c r="F16">
        <f>VLOOKUP(C16,GoiRuaXe!$A$1:$C$8,3,0)</f>
        <v>120000</v>
      </c>
      <c r="G16">
        <f t="shared" si="0"/>
        <v>480000</v>
      </c>
    </row>
  </sheetData>
  <autoFilter ref="A1:G16" xr:uid="{00000000-0001-0000-0000-000000000000}">
    <filterColumn colId="6">
      <filters>
        <filter val="300000"/>
        <filter val="360000"/>
        <filter val="400000"/>
        <filter val="450000"/>
        <filter val="480000"/>
        <filter val="600000"/>
        <filter val="750000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4" x14ac:dyDescent="0.55000000000000004"/>
  <cols>
    <col min="1" max="7" width="15" customWidth="1"/>
  </cols>
  <sheetData>
    <row r="1" spans="1:3" x14ac:dyDescent="0.55000000000000004">
      <c r="A1" t="s">
        <v>2</v>
      </c>
      <c r="B1" t="s">
        <v>4</v>
      </c>
      <c r="C1" t="s">
        <v>5</v>
      </c>
    </row>
    <row r="2" spans="1:3" x14ac:dyDescent="0.55000000000000004">
      <c r="A2" t="s">
        <v>26</v>
      </c>
      <c r="B2" t="s">
        <v>44</v>
      </c>
      <c r="C2">
        <v>30000</v>
      </c>
    </row>
    <row r="3" spans="1:3" x14ac:dyDescent="0.55000000000000004">
      <c r="A3" t="s">
        <v>18</v>
      </c>
      <c r="B3" t="s">
        <v>45</v>
      </c>
      <c r="C3">
        <v>50000</v>
      </c>
    </row>
    <row r="4" spans="1:3" x14ac:dyDescent="0.55000000000000004">
      <c r="A4" t="s">
        <v>9</v>
      </c>
      <c r="B4" t="s">
        <v>46</v>
      </c>
      <c r="C4">
        <v>120000</v>
      </c>
    </row>
    <row r="5" spans="1:3" x14ac:dyDescent="0.55000000000000004">
      <c r="A5" t="s">
        <v>15</v>
      </c>
      <c r="B5" t="s">
        <v>47</v>
      </c>
      <c r="C5">
        <v>150000</v>
      </c>
    </row>
    <row r="6" spans="1:3" x14ac:dyDescent="0.55000000000000004">
      <c r="A6" t="s">
        <v>12</v>
      </c>
      <c r="B6" t="s">
        <v>48</v>
      </c>
      <c r="C6">
        <v>400000</v>
      </c>
    </row>
    <row r="7" spans="1:3" x14ac:dyDescent="0.55000000000000004">
      <c r="A7" t="s">
        <v>23</v>
      </c>
      <c r="B7" t="s">
        <v>49</v>
      </c>
      <c r="C7">
        <v>200000</v>
      </c>
    </row>
    <row r="8" spans="1:3" x14ac:dyDescent="0.55000000000000004">
      <c r="A8" t="s">
        <v>33</v>
      </c>
      <c r="B8" t="s">
        <v>50</v>
      </c>
      <c r="C8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LuotRua</vt:lpstr>
      <vt:lpstr>GoiRuaXe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vuminhquan18022008@gmail.com</cp:lastModifiedBy>
  <dcterms:created xsi:type="dcterms:W3CDTF">2026-10-27T01:32:47Z</dcterms:created>
  <dcterms:modified xsi:type="dcterms:W3CDTF">2026-10-28T06:59:54Z</dcterms:modified>
</cp:coreProperties>
</file>